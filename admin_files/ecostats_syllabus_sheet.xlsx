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lperry/Documents/r_projects/web_ecostats_website_2026/admin_files/"/>
    </mc:Choice>
  </mc:AlternateContent>
  <xr:revisionPtr revIDLastSave="0" documentId="13_ncr:1_{FC9D17FE-5788-5A4A-82C4-1A2915C6FC80}" xr6:coauthVersionLast="47" xr6:coauthVersionMax="47" xr10:uidLastSave="{00000000-0000-0000-0000-000000000000}"/>
  <bookViews>
    <workbookView xWindow="35360" yWindow="-10900" windowWidth="26520" windowHeight="27860" xr2:uid="{43472576-55A1-7648-96C2-B06F34AA45C2}"/>
  </bookViews>
  <sheets>
    <sheet name="schedule" sheetId="1" r:id="rId1"/>
    <sheet name="poi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3" i="1"/>
  <c r="L4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A7" i="1"/>
  <c r="A9" i="1" s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L6" i="1" l="1"/>
  <c r="M3" i="1" s="1"/>
  <c r="M4" i="1" l="1"/>
  <c r="M5" i="1"/>
</calcChain>
</file>

<file path=xl/sharedStrings.xml><?xml version="1.0" encoding="utf-8"?>
<sst xmlns="http://schemas.openxmlformats.org/spreadsheetml/2006/main" count="39" uniqueCount="39">
  <si>
    <t>Holiday: campus closed</t>
  </si>
  <si>
    <t>FINAL EXAM WEEK</t>
  </si>
  <si>
    <t>Date</t>
  </si>
  <si>
    <t>Assignment</t>
  </si>
  <si>
    <t>Homework</t>
  </si>
  <si>
    <t>Correlation and Regressions</t>
  </si>
  <si>
    <t>Multiple Regression</t>
  </si>
  <si>
    <t>Analysis of Variance</t>
  </si>
  <si>
    <t>ANOVA 2 - Way</t>
  </si>
  <si>
    <t>ANOVA - Nested</t>
  </si>
  <si>
    <t>Linear Mixed Model ANOVA</t>
  </si>
  <si>
    <t>Non Parametric ANOVA - when assumptions fail</t>
  </si>
  <si>
    <t>Non-parametric T-Tests</t>
  </si>
  <si>
    <t>Multivariate Statistics - Introduction</t>
  </si>
  <si>
    <t>MANOVA</t>
  </si>
  <si>
    <t>Points</t>
  </si>
  <si>
    <t xml:space="preserve">Assignments </t>
  </si>
  <si>
    <t>In class assignments</t>
  </si>
  <si>
    <t>Each</t>
  </si>
  <si>
    <t>Total</t>
  </si>
  <si>
    <t>General Linear Models and Logistic Regression</t>
  </si>
  <si>
    <t>ANCOVA - Analysis of Covariance</t>
  </si>
  <si>
    <t>Number</t>
  </si>
  <si>
    <t>Prop. Of Grade</t>
  </si>
  <si>
    <t>WK</t>
  </si>
  <si>
    <t>Topic</t>
  </si>
  <si>
    <t>Due</t>
  </si>
  <si>
    <t>HW</t>
  </si>
  <si>
    <t>NO FINAL</t>
  </si>
  <si>
    <t>NMDS</t>
  </si>
  <si>
    <t>PCA</t>
  </si>
  <si>
    <t>Introduction - data and hypotheses</t>
  </si>
  <si>
    <t>Wrangling Data</t>
  </si>
  <si>
    <t>Descriptive Statistics and GGPlot</t>
  </si>
  <si>
    <t>Data Visualization with GGPlot</t>
  </si>
  <si>
    <t>Probability and Inference</t>
  </si>
  <si>
    <t>T-Tests - one, two and paired</t>
  </si>
  <si>
    <t>Power - are you making the right decision</t>
  </si>
  <si>
    <t>Study Design and 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</si>
</sst>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d"/>
  </numFmts>
  <fonts count="4">
    <font>
      <sz val="12"/>
      <color theme="1"/>
      <name val="ArialMT"/>
      <family val="2"/>
    </font>
    <font>
      <sz val="8"/>
      <name val="ArialMT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2" fontId="2" fillId="0" borderId="0" xfId="0" applyNumberFormat="1" applyFont="1"/>
    <xf numFmtId="15" fontId="2" fillId="0" borderId="0" xfId="0" applyNumberFormat="1" applyFont="1"/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164" fontId="2" fillId="0" borderId="0" xfId="0" applyNumberFormat="1" applyFont="1" applyBorder="1" applyAlignment="1">
      <alignment wrapText="1"/>
    </xf>
    <xf numFmtId="0" fontId="2" fillId="0" borderId="0" xfId="0" applyFont="1" applyBorder="1"/>
    <xf numFmtId="0" fontId="2" fillId="2" borderId="0" xfId="0" applyFont="1" applyFill="1" applyBorder="1" applyAlignment="1">
      <alignment wrapText="1"/>
    </xf>
    <xf numFmtId="164" fontId="2" fillId="2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2451-1E77-974D-A410-EE4B19D71BB9}">
  <dimension ref="A2:M44"/>
  <sheetViews>
    <sheetView tabSelected="1" topLeftCell="A3" zoomScale="130" zoomScaleNormal="130" workbookViewId="0">
      <selection activeCell="C34" sqref="C34"/>
    </sheetView>
  </sheetViews>
  <sheetFormatPr baseColWidth="10" defaultRowHeight="16"/>
  <cols>
    <col min="1" max="1" width="3.7109375" style="1" bestFit="1" customWidth="1"/>
    <col min="2" max="2" width="6.7109375" style="1" bestFit="1" customWidth="1"/>
    <col min="3" max="3" width="42.7109375" style="1" customWidth="1"/>
    <col min="4" max="4" width="6.85546875" style="1" bestFit="1" customWidth="1"/>
    <col min="5" max="5" width="18.140625" style="1" customWidth="1"/>
    <col min="6" max="6" width="14.7109375" style="2" customWidth="1"/>
    <col min="7" max="8" width="10.7109375" style="1"/>
    <col min="9" max="9" width="17.28515625" style="1" bestFit="1" customWidth="1"/>
    <col min="10" max="10" width="7.28515625" style="1" bestFit="1" customWidth="1"/>
    <col min="11" max="11" width="5" style="1" bestFit="1" customWidth="1"/>
    <col min="12" max="12" width="4.85546875" style="1" bestFit="1" customWidth="1"/>
    <col min="13" max="13" width="12.5703125" style="1" bestFit="1" customWidth="1"/>
    <col min="14" max="16384" width="10.7109375" style="1"/>
  </cols>
  <sheetData>
    <row r="2" spans="1:13">
      <c r="I2" s="1" t="s">
        <v>15</v>
      </c>
      <c r="J2" s="1" t="s">
        <v>22</v>
      </c>
      <c r="K2" s="1" t="s">
        <v>18</v>
      </c>
      <c r="L2" s="1" t="s">
        <v>19</v>
      </c>
      <c r="M2" s="1" t="s">
        <v>23</v>
      </c>
    </row>
    <row r="3" spans="1:13">
      <c r="I3" s="1" t="s">
        <v>4</v>
      </c>
      <c r="J3" s="1">
        <v>10</v>
      </c>
      <c r="K3" s="1">
        <v>20</v>
      </c>
      <c r="L3" s="1">
        <f>K3*J3</f>
        <v>200</v>
      </c>
      <c r="M3" s="3">
        <f>L3/L$6</f>
        <v>0.3125</v>
      </c>
    </row>
    <row r="4" spans="1:13" ht="17">
      <c r="A4" s="5" t="s">
        <v>24</v>
      </c>
      <c r="B4" s="5" t="s">
        <v>2</v>
      </c>
      <c r="C4" s="5" t="s">
        <v>25</v>
      </c>
      <c r="D4" s="5" t="s">
        <v>27</v>
      </c>
      <c r="E4" s="5" t="s">
        <v>3</v>
      </c>
      <c r="F4" s="6" t="s">
        <v>26</v>
      </c>
      <c r="I4" s="1" t="s">
        <v>16</v>
      </c>
      <c r="J4" s="1">
        <v>4</v>
      </c>
      <c r="K4" s="1">
        <v>100</v>
      </c>
      <c r="L4" s="1">
        <f>K4*J4</f>
        <v>400</v>
      </c>
      <c r="M4" s="3">
        <f>L4/L$6</f>
        <v>0.625</v>
      </c>
    </row>
    <row r="5" spans="1:13" ht="17">
      <c r="A5" s="7">
        <v>1</v>
      </c>
      <c r="B5" s="8">
        <v>46265</v>
      </c>
      <c r="C5" s="7" t="s">
        <v>31</v>
      </c>
      <c r="D5" s="9"/>
      <c r="E5" s="7"/>
      <c r="F5" s="7"/>
      <c r="I5" s="1" t="s">
        <v>17</v>
      </c>
      <c r="J5" s="1">
        <v>4</v>
      </c>
      <c r="K5" s="1">
        <v>10</v>
      </c>
      <c r="L5" s="1">
        <f>K5*J5</f>
        <v>40</v>
      </c>
      <c r="M5" s="3">
        <f>L5/L$6</f>
        <v>6.25E-2</v>
      </c>
    </row>
    <row r="6" spans="1:13" ht="17">
      <c r="A6" s="7"/>
      <c r="B6" s="8">
        <f>B5+2</f>
        <v>46267</v>
      </c>
      <c r="C6" s="7" t="s">
        <v>32</v>
      </c>
      <c r="D6" s="7"/>
      <c r="E6" s="7"/>
      <c r="F6" s="7"/>
      <c r="L6" s="1">
        <f>SUM(L3:L5)</f>
        <v>640</v>
      </c>
    </row>
    <row r="7" spans="1:13" ht="17">
      <c r="A7" s="10">
        <f>A5+1</f>
        <v>2</v>
      </c>
      <c r="B7" s="11">
        <f>B6+5</f>
        <v>46272</v>
      </c>
      <c r="C7" s="10" t="s">
        <v>0</v>
      </c>
      <c r="D7" s="10"/>
      <c r="E7" s="10"/>
      <c r="F7" s="10"/>
    </row>
    <row r="8" spans="1:13" ht="17">
      <c r="A8" s="7"/>
      <c r="B8" s="8">
        <f>B7+2</f>
        <v>46274</v>
      </c>
      <c r="C8" s="7" t="s">
        <v>33</v>
      </c>
      <c r="D8" s="7"/>
      <c r="E8" s="7"/>
      <c r="F8" s="7"/>
    </row>
    <row r="9" spans="1:13" ht="17">
      <c r="A9" s="7">
        <f>A7+1</f>
        <v>3</v>
      </c>
      <c r="B9" s="8">
        <f>B8+5</f>
        <v>46279</v>
      </c>
      <c r="C9" s="7" t="s">
        <v>34</v>
      </c>
      <c r="D9" s="7"/>
      <c r="E9" s="7"/>
      <c r="F9" s="7"/>
    </row>
    <row r="10" spans="1:13" ht="17">
      <c r="A10" s="7"/>
      <c r="B10" s="8">
        <f>B9+2</f>
        <v>46281</v>
      </c>
      <c r="C10" s="7" t="s">
        <v>35</v>
      </c>
      <c r="D10" s="7"/>
      <c r="E10" s="7"/>
      <c r="F10" s="7"/>
    </row>
    <row r="11" spans="1:13" ht="17">
      <c r="A11" s="7">
        <f>A9+1</f>
        <v>4</v>
      </c>
      <c r="B11" s="8">
        <f>B10+5</f>
        <v>46286</v>
      </c>
      <c r="C11" s="7" t="s">
        <v>36</v>
      </c>
      <c r="D11" s="7"/>
      <c r="E11" s="7"/>
      <c r="F11" s="7"/>
    </row>
    <row r="12" spans="1:13" ht="17">
      <c r="A12" s="7"/>
      <c r="B12" s="8">
        <f>B11+2</f>
        <v>46288</v>
      </c>
      <c r="C12" s="7" t="s">
        <v>12</v>
      </c>
      <c r="D12" s="7"/>
      <c r="E12" s="7"/>
      <c r="F12" s="7"/>
    </row>
    <row r="13" spans="1:13" ht="17">
      <c r="A13" s="7">
        <f>A11+1</f>
        <v>5</v>
      </c>
      <c r="B13" s="8">
        <f>B12+5</f>
        <v>46293</v>
      </c>
      <c r="C13" s="7" t="s">
        <v>37</v>
      </c>
      <c r="D13" s="7"/>
      <c r="E13" s="7"/>
      <c r="F13" s="7"/>
    </row>
    <row r="14" spans="1:13">
      <c r="A14" s="7"/>
      <c r="B14" s="8">
        <f>B13+2</f>
        <v>46295</v>
      </c>
      <c r="C14" s="9" t="s">
        <v>38</v>
      </c>
      <c r="D14" s="7"/>
      <c r="E14" s="7"/>
      <c r="F14" s="7"/>
    </row>
    <row r="15" spans="1:13" ht="17">
      <c r="A15" s="7">
        <f>A13+1</f>
        <v>6</v>
      </c>
      <c r="B15" s="8">
        <f>B14+5</f>
        <v>46300</v>
      </c>
      <c r="C15" s="7" t="s">
        <v>5</v>
      </c>
      <c r="D15" s="7"/>
      <c r="E15" s="7"/>
      <c r="F15" s="7"/>
    </row>
    <row r="16" spans="1:13">
      <c r="A16" s="7"/>
      <c r="B16" s="8">
        <f>B15+2</f>
        <v>46302</v>
      </c>
      <c r="C16" s="9"/>
      <c r="D16" s="7"/>
      <c r="E16" s="7"/>
      <c r="F16" s="7"/>
    </row>
    <row r="17" spans="1:6" ht="17">
      <c r="A17" s="7">
        <f>A15+1</f>
        <v>7</v>
      </c>
      <c r="B17" s="8">
        <f>B16+5</f>
        <v>46307</v>
      </c>
      <c r="C17" s="7" t="s">
        <v>6</v>
      </c>
      <c r="D17" s="7"/>
      <c r="E17" s="7"/>
      <c r="F17" s="7"/>
    </row>
    <row r="18" spans="1:6">
      <c r="A18" s="7"/>
      <c r="B18" s="8">
        <f>B17+2</f>
        <v>46309</v>
      </c>
      <c r="C18" s="9"/>
      <c r="D18" s="7"/>
      <c r="E18" s="7"/>
      <c r="F18" s="7"/>
    </row>
    <row r="19" spans="1:6" ht="17">
      <c r="A19" s="7">
        <f>A17+1</f>
        <v>8</v>
      </c>
      <c r="B19" s="8">
        <f>B18+5</f>
        <v>46314</v>
      </c>
      <c r="C19" s="7" t="s">
        <v>7</v>
      </c>
      <c r="D19" s="7"/>
      <c r="E19" s="7"/>
      <c r="F19" s="7"/>
    </row>
    <row r="20" spans="1:6">
      <c r="A20" s="7"/>
      <c r="B20" s="8">
        <f>B19+2</f>
        <v>46316</v>
      </c>
      <c r="D20" s="7"/>
      <c r="E20" s="7"/>
      <c r="F20" s="7"/>
    </row>
    <row r="21" spans="1:6" ht="17">
      <c r="A21" s="7">
        <f>A19+1</f>
        <v>9</v>
      </c>
      <c r="B21" s="8">
        <f>B20+5</f>
        <v>46321</v>
      </c>
      <c r="C21" s="7" t="s">
        <v>8</v>
      </c>
      <c r="D21" s="7"/>
      <c r="E21" s="7"/>
      <c r="F21" s="7"/>
    </row>
    <row r="22" spans="1:6" ht="17">
      <c r="A22" s="7"/>
      <c r="B22" s="8">
        <f>B21+2</f>
        <v>46323</v>
      </c>
      <c r="C22" s="7" t="s">
        <v>9</v>
      </c>
      <c r="D22" s="7"/>
      <c r="E22" s="7"/>
      <c r="F22" s="7"/>
    </row>
    <row r="23" spans="1:6" ht="17">
      <c r="A23" s="7">
        <f>A21+1</f>
        <v>10</v>
      </c>
      <c r="B23" s="8">
        <f>B22+5</f>
        <v>46328</v>
      </c>
      <c r="C23" s="7" t="s">
        <v>10</v>
      </c>
      <c r="D23" s="7"/>
      <c r="E23" s="7"/>
      <c r="F23" s="7"/>
    </row>
    <row r="24" spans="1:6">
      <c r="A24" s="7"/>
      <c r="B24" s="8">
        <f>B23+2</f>
        <v>46330</v>
      </c>
      <c r="D24" s="7"/>
      <c r="E24" s="7"/>
      <c r="F24" s="7"/>
    </row>
    <row r="25" spans="1:6" ht="17">
      <c r="A25" s="7">
        <f>A23+1</f>
        <v>11</v>
      </c>
      <c r="B25" s="8">
        <f>B24+5</f>
        <v>46335</v>
      </c>
      <c r="C25" s="7" t="s">
        <v>20</v>
      </c>
      <c r="D25" s="7"/>
      <c r="E25" s="7"/>
      <c r="F25" s="7"/>
    </row>
    <row r="26" spans="1:6">
      <c r="A26" s="7"/>
      <c r="B26" s="8">
        <f>B25+2</f>
        <v>46337</v>
      </c>
      <c r="C26" s="7"/>
      <c r="D26" s="7"/>
      <c r="E26" s="7"/>
      <c r="F26" s="7"/>
    </row>
    <row r="27" spans="1:6" ht="17">
      <c r="A27" s="7">
        <f>A25+1</f>
        <v>12</v>
      </c>
      <c r="B27" s="8">
        <f>B26+5</f>
        <v>46342</v>
      </c>
      <c r="C27" s="7" t="s">
        <v>11</v>
      </c>
      <c r="D27" s="7"/>
      <c r="E27" s="7"/>
      <c r="F27" s="7"/>
    </row>
    <row r="28" spans="1:6" ht="17">
      <c r="A28" s="7"/>
      <c r="B28" s="8">
        <f>B27+2</f>
        <v>46344</v>
      </c>
      <c r="C28" s="7" t="s">
        <v>21</v>
      </c>
      <c r="D28" s="7"/>
      <c r="E28" s="7"/>
      <c r="F28" s="7"/>
    </row>
    <row r="29" spans="1:6">
      <c r="A29" s="7">
        <f>A27+1</f>
        <v>13</v>
      </c>
      <c r="B29" s="8">
        <f>B28+5</f>
        <v>46349</v>
      </c>
      <c r="D29" s="7"/>
      <c r="E29" s="7"/>
      <c r="F29" s="7"/>
    </row>
    <row r="30" spans="1:6" ht="17">
      <c r="A30" s="7"/>
      <c r="B30" s="8">
        <f>B29+2</f>
        <v>46351</v>
      </c>
      <c r="C30" s="7" t="s">
        <v>13</v>
      </c>
      <c r="D30" s="7"/>
      <c r="E30" s="7"/>
      <c r="F30" s="7"/>
    </row>
    <row r="31" spans="1:6" ht="17">
      <c r="A31" s="7">
        <f>A29+1</f>
        <v>14</v>
      </c>
      <c r="B31" s="8">
        <f>B30+5</f>
        <v>46356</v>
      </c>
      <c r="C31" s="7" t="s">
        <v>14</v>
      </c>
      <c r="D31" s="7"/>
      <c r="E31" s="7"/>
      <c r="F31" s="7"/>
    </row>
    <row r="32" spans="1:6" ht="17">
      <c r="A32" s="7"/>
      <c r="B32" s="8">
        <f>B31+2</f>
        <v>46358</v>
      </c>
      <c r="C32" s="7" t="s">
        <v>30</v>
      </c>
      <c r="D32" s="7"/>
      <c r="E32" s="7"/>
      <c r="F32" s="7"/>
    </row>
    <row r="33" spans="1:6" ht="17">
      <c r="A33" s="7">
        <f>A31+1</f>
        <v>15</v>
      </c>
      <c r="B33" s="8">
        <f>B32+5</f>
        <v>46363</v>
      </c>
      <c r="C33" s="7" t="s">
        <v>29</v>
      </c>
      <c r="D33" s="7"/>
      <c r="E33" s="7"/>
      <c r="F33" s="7"/>
    </row>
    <row r="34" spans="1:6">
      <c r="A34" s="7"/>
      <c r="B34" s="8">
        <f>B33+2</f>
        <v>46365</v>
      </c>
      <c r="C34" s="7"/>
      <c r="D34" s="7"/>
      <c r="E34" s="7"/>
      <c r="F34" s="7"/>
    </row>
    <row r="35" spans="1:6" ht="17">
      <c r="A35" s="7">
        <f>A33+1</f>
        <v>16</v>
      </c>
      <c r="B35" s="8">
        <f>B34+5</f>
        <v>46370</v>
      </c>
      <c r="C35" s="7" t="s">
        <v>1</v>
      </c>
      <c r="D35" s="7"/>
      <c r="E35" s="6" t="s">
        <v>28</v>
      </c>
      <c r="F35" s="7"/>
    </row>
    <row r="36" spans="1:6">
      <c r="B36" s="4"/>
    </row>
    <row r="37" spans="1:6">
      <c r="B37" s="4"/>
    </row>
    <row r="38" spans="1:6">
      <c r="B38" s="4"/>
    </row>
    <row r="39" spans="1:6">
      <c r="B39" s="4"/>
    </row>
    <row r="40" spans="1:6">
      <c r="B40" s="4"/>
    </row>
    <row r="41" spans="1:6">
      <c r="B41" s="4"/>
    </row>
    <row r="42" spans="1:6">
      <c r="B42" s="4"/>
    </row>
    <row r="43" spans="1:6">
      <c r="B43" s="4"/>
    </row>
    <row r="44" spans="1:6">
      <c r="B44" s="4"/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6514-FE3C-4241-8E99-1AE3E18B87B0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Perry, Bill</dc:creator>
  <cp:lastModifiedBy>Bill Perry</cp:lastModifiedBy>
  <dcterms:created xsi:type="dcterms:W3CDTF">2025-08-04T15:56:10Z</dcterms:created>
  <dcterms:modified xsi:type="dcterms:W3CDTF">2026-08-26T16:11:37Z</dcterms:modified>
</cp:coreProperties>
</file>